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ira\Downloads\MapUp\MapUp-DA-Assessment-2024-main\submissions\"/>
    </mc:Choice>
  </mc:AlternateContent>
  <xr:revisionPtr revIDLastSave="0" documentId="13_ncr:1_{000444B7-BBEA-470E-9A30-BE4EE6AA4F8B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C30" i="18"/>
  <c r="D30" i="18"/>
  <c r="E30" i="18"/>
  <c r="F30" i="18"/>
  <c r="B30" i="18"/>
  <c r="C29" i="18"/>
  <c r="D29" i="18"/>
  <c r="E29" i="18"/>
  <c r="F29" i="18"/>
  <c r="C28" i="18"/>
  <c r="D28" i="18"/>
  <c r="E28" i="18"/>
  <c r="F28" i="18"/>
  <c r="B29" i="18"/>
  <c r="B28" i="18"/>
  <c r="F21" i="18"/>
  <c r="F22" i="18"/>
  <c r="F23" i="18"/>
  <c r="F24" i="18"/>
  <c r="F25" i="18"/>
  <c r="F26" i="18"/>
  <c r="F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6" i="18"/>
  <c r="E20" i="18"/>
  <c r="E21" i="18"/>
  <c r="E22" i="18"/>
  <c r="E23" i="18"/>
  <c r="E24" i="18"/>
  <c r="E25" i="18"/>
  <c r="E26" i="18"/>
  <c r="E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6" i="18"/>
  <c r="D20" i="18"/>
  <c r="D21" i="18"/>
  <c r="D22" i="18"/>
  <c r="D23" i="18"/>
  <c r="D24" i="18"/>
  <c r="D25" i="18"/>
  <c r="D26" i="18"/>
  <c r="D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6" i="18"/>
  <c r="C20" i="18"/>
  <c r="C21" i="18"/>
  <c r="C22" i="18"/>
  <c r="C23" i="18"/>
  <c r="C24" i="18"/>
  <c r="C25" i="18"/>
  <c r="C2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6" i="18"/>
  <c r="B21" i="18"/>
  <c r="B22" i="18"/>
  <c r="B23" i="18"/>
  <c r="B24" i="18"/>
  <c r="B25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6" i="18"/>
  <c r="D5" i="15"/>
  <c r="I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<sst xmlns="http://schemas.openxmlformats.org/spreadsheetml/2006/main" count="408" uniqueCount="185">
  <si>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</si>
  <si>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</si>
  <si>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</si>
  <si>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</si>
  <si>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</si>
  <si>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</si>
  <si>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</si>
  <si>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</si>
  <si>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</si>
  <si>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</si>
  <si>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</si>
  <si>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</si>
  <si>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</si>
  <si>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</si>
  <si>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</si>
  <si>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</si>
  <si>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</si>
  <si>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</si>
  <si>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</si>
  <si>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</si>
  <si>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</si>
  <si>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</si>
  <si>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</si>
  <si>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</si>
  <si>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</si>
  <si>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</si>
  <si>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</si>
  <si>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</si>
  <si>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</si>
  <si>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</si>
  <si>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</si>
  <si>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</si>
  <si>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</si>
  <si>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</si>
  <si>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</si>
  <si>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</si>
  <si>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</si>
  <si>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</si>
  <si>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</si>
  <si>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</si>
  <si>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</si>
  <si>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</si>
  <si>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</si>
  <si>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</si>
  <si>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</si>
  <si>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</si>
  <si>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</si>
  <si>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</si>
  <si>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</si>
  <si>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</si>
  <si>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</si>
  <si>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</si>
  <si>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</si>
  <si>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</si>
  <si>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</si>
  <si>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</si>
  <si>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</si>
  <si>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</si>
  <si>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</si>
  <si>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</si>
  <si>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</si>
  <si>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</si>
  <si>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</si>
  <si>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</si>
  <si>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</si>
  <si>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</si>
  <si>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</si>
  <si>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</si>
  <si>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</si>
  <si>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</si>
  <si>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</si>
  <si>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</si>
  <si>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</si>
  <si>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</si>
  <si>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</si>
  <si>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</si>
  <si>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</si>
  <si>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</si>
  <si>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</si>
  <si>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</si>
  <si>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</si>
  <si>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</si>
  <si>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</si>
  <si>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</si>
  <si>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</si>
  <si>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</si>
  <si>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</si>
  <si>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</si>
  <si>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</si>
  <si>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</si>
  <si>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</si>
  <si>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</si>
  <si>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</si>
  <si>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</si>
  <si>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</si>
  <si>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</si>
  <si>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</si>
  <si>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</si>
  <si>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</si>
  <si>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</si>
  <si>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</si>
  <si>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</si>
  <si>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</si>
  <si>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</si>
  <si>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</si>
  <si>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</si>
  <si>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</si>
  <si>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</si>
  <si>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</si>
  <si>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</si>
  <si>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</si>
  <si>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</si>
  <si>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</si>
  <si>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</si>
  <si>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</si>
  <si>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</si>
  <si>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</si>
  <si>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</si>
  <si>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</si>
  <si>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</si>
  <si>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</si>
  <si>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</si>
  <si>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</si>
  <si>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</si>
  <si>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</si>
  <si>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</si>
  <si>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</si>
  <si>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</si>
  <si>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</si>
  <si>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</si>
  <si>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</si>
  <si>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</si>
  <si>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</si>
  <si>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</si>
  <si>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</si>
  <si>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</si>
  <si>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</si>
  <si>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</si>
  <si>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</si>
  <si>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</si>
  <si>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</si>
  <si>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</si>
  <si>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</si>
  <si>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</si>
  <si>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</si>
  <si>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</si>
  <si>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</si>
  <si>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</si>
  <si>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</si>
  <si>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</si>
  <si>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</si>
  <si>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</si>
  <si>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</si>
  <si>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</si>
  <si>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</si>
  <si>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</si>
  <si>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</si>
  <si>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</si>
  <si>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</si>
  <si>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</si>
  <si>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</si>
  <si>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</si>
  <si>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</si>
  <si>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</si>
  <si>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</si>
  <si>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</si>
  <si>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</si>
  <si>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</si>
  <si>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</si>
  <si>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</si>
  <si>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</si>
  <si>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</si>
  <si>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</si>
  <si>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</si>
  <si>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</si>
  <si>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</si>
  <si>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</si>
  <si>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r>
      <t>Formula: =</t>
    </r>
    <r>
      <rPr>
        <sz val="10"/>
        <color rgb="FFE36209"/>
        <rFont val="Consolas"/>
        <family val="3"/>
      </rPr>
      <t>SUMIF</t>
    </r>
    <r>
      <rPr>
        <sz val="10"/>
        <color rgb="FF262626"/>
        <rFont val="Consolas"/>
        <family val="3"/>
      </rPr>
      <t xml:space="preserve">(H:H, </t>
    </r>
    <r>
      <rPr>
        <sz val="10"/>
        <color rgb="FF1D6BC5"/>
        <rFont val="Consolas"/>
        <family val="3"/>
      </rPr>
      <t>"&gt;20"</t>
    </r>
    <r>
      <rPr>
        <sz val="10"/>
        <color rgb="FF262626"/>
        <rFont val="Consolas"/>
        <family val="3"/>
      </rPr>
      <t>)</t>
    </r>
  </si>
  <si>
    <t>copy values in the col_1, Data-&gt; Text to Columns was used.</t>
  </si>
  <si>
    <t>=SUM(IF(ISNA(Table_A[Sales]), 20, Table_A[Sales]))</t>
  </si>
  <si>
    <t>The function check the column 'Sales' for 'N/A' , if it finds the 'na' then it will be replace by value "20", and sum it all.</t>
  </si>
  <si>
    <t>Formula: =IFERROR(VLOOKUP(VLOOKUP(A23, $M$9:$N$18, 2, FALSE), $A$10:$J$18, 2, FALSE), VLOOKUP(VLOOKUP(B23, $M$9:$N$18, 2, FALSE), $A$10:$J$18, 2, FALSE))</t>
  </si>
  <si>
    <t>VLOOKUP(A23, $M$9:$N$18, 2, FALSE): Looks up the name corresponding to the ID in name_1 from Table_B.</t>
  </si>
  <si>
    <t>VLOOKUP(..., $A$10:$J$18, 2, FALSE): Retrieves the value from Table_A using the letter returned from the first lookup.</t>
  </si>
  <si>
    <t>IFERROR(..., VLOOKUP(...)): If the first lookup fails, it tries to look up the 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</si>
</sst>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262626"/>
      <name val="Consolas"/>
      <family val="3"/>
    </font>
    <font>
      <sz val="10"/>
      <color rgb="FFE36209"/>
      <name val="Consolas"/>
      <family val="3"/>
    </font>
    <font>
      <sz val="10"/>
      <color rgb="FF1D6BC5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7" fillId="0" borderId="0" xfId="0" applyFont="1"/>
    <xf numFmtId="165" fontId="7" fillId="0" borderId="0" xfId="0" applyNumberFormat="1" applyFont="1"/>
    <xf numFmtId="165" fontId="3" fillId="0" borderId="0" xfId="0" applyNumberFormat="1" applyFont="1"/>
    <xf numFmtId="0" fontId="17" fillId="5" borderId="1" xfId="0" applyFont="1" applyFill="1" applyBorder="1"/>
    <xf numFmtId="0" fontId="17" fillId="5" borderId="0" xfId="0" applyFont="1" applyFill="1"/>
    <xf numFmtId="0" fontId="8" fillId="5" borderId="0" xfId="0" applyFont="1" applyFill="1"/>
    <xf numFmtId="0" fontId="8" fillId="0" borderId="8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EA00A5-BBE0-4DA2-90D3-30CEF46B43F4}" name="Table1" displayName="Table1" ref="A1:X41" totalsRowShown="0" headerRowDxfId="0" dataDxfId="1">
  <autoFilter ref="A1:X41" xr:uid="{B9EA00A5-BBE0-4DA2-90D3-30CEF46B43F4}"/>
  <tableColumns count="24">
    <tableColumn id="1" xr3:uid="{6E5249CA-56C4-410E-8C70-847D3166DE88}" name="name" dataDxfId="25"/>
    <tableColumn id="2" xr3:uid="{24357403-3163-425E-826D-3B25D24F2900}" name="ID" dataDxfId="24"/>
    <tableColumn id="3" xr3:uid="{11D8D6F7-90B2-4B48-B5DD-685C7C6082FC}" name="start_day" dataDxfId="23"/>
    <tableColumn id="4" xr3:uid="{CD0DC2C3-6149-4F8A-8166-6541662DF2F2}" name="start_time" dataDxfId="22"/>
    <tableColumn id="5" xr3:uid="{FAB001F4-0D49-4FBF-A841-6A5422B2B970}" name="end_day" dataDxfId="21"/>
    <tableColumn id="6" xr3:uid="{B777398C-8EB8-4415-86D8-B69A9CBE49A2}" name="end_time" dataDxfId="20"/>
    <tableColumn id="7" xr3:uid="{87C49DA2-6A5C-45FE-865D-D2EED8F9E232}" name="car1" dataDxfId="19"/>
    <tableColumn id="8" xr3:uid="{E02AA7CC-EA87-432F-BE2E-D8E1D822509E}" name="car2" dataDxfId="18"/>
    <tableColumn id="9" xr3:uid="{C2EE6CEA-8BE0-40A4-AE94-0EF4D5298C71}" name="car3" dataDxfId="17"/>
    <tableColumn id="10" xr3:uid="{55390B50-070B-4917-B60E-7CC5B00E2232}" name="moto1" dataDxfId="16"/>
    <tableColumn id="11" xr3:uid="{84CF482C-BA79-4BE8-BC62-14D4979A4ADE}" name="moto2" dataDxfId="15"/>
    <tableColumn id="12" xr3:uid="{D1EFA060-05AF-4A36-AB55-A9C5CF04A0E0}" name="moto3" dataDxfId="14"/>
    <tableColumn id="13" xr3:uid="{84F340FD-D9C1-4200-9218-8B9970F35896}" name="bus1" dataDxfId="13"/>
    <tableColumn id="14" xr3:uid="{69B9A76F-57A5-476C-9EF9-BEA26E78D1AD}" name="bus2" dataDxfId="12"/>
    <tableColumn id="15" xr3:uid="{A5E4768B-3AF7-453A-ABF1-97DF4DA9AD02}" name="bus3" dataDxfId="11"/>
    <tableColumn id="16" xr3:uid="{925CD436-6918-4852-8DFF-AC2A696FDE1C}" name="rv1" dataDxfId="10"/>
    <tableColumn id="17" xr3:uid="{842E8A04-711A-42C6-9D1E-A98EB50A1AAF}" name="rv2" dataDxfId="9"/>
    <tableColumn id="18" xr3:uid="{F65FFCE7-CCD2-409F-809A-E629075F944E}" name="rv3" dataDxfId="8"/>
    <tableColumn id="19" xr3:uid="{9D1B7186-6B66-4947-A5C4-7CC95F42514F}" name="truck1" dataDxfId="7"/>
    <tableColumn id="20" xr3:uid="{EB7F2239-6294-4170-8696-95ABF88FE1F9}" name="truck2" dataDxfId="6"/>
    <tableColumn id="21" xr3:uid="{523D8DAA-313F-43EF-BCA6-2B922BCFCBFC}" name="taxi1" dataDxfId="5"/>
    <tableColumn id="22" xr3:uid="{B58501AA-F6C3-4CCE-8F9E-5BEA6E239D55}" name="taxi2" dataDxfId="4"/>
    <tableColumn id="23" xr3:uid="{949E4A19-4065-42DA-B192-7C14544F9C30}" name="taxi3" dataDxfId="3"/>
    <tableColumn id="24" xr3:uid="{9FEB0A01-251B-4F45-A162-EE33D1488F75}" name="dat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4" t="s">
        <v>170</v>
      </c>
      <c r="B9" s="26" t="s">
        <v>168</v>
      </c>
    </row>
    <row r="10" spans="1:3" x14ac:dyDescent="0.2">
      <c r="A10" s="33" t="s">
        <v>171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11" activePane="bottomLeft" state="frozen"/>
      <selection activeCell="C1" sqref="C1"/>
      <selection pane="bottomLeft" activeCell="Q28" sqref="Q28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13.1640625" style="1" customWidth="1"/>
    <col min="4" max="4" width="14.33203125" style="24" customWidth="1"/>
    <col min="5" max="5" width="12.5" style="1" customWidth="1"/>
    <col min="6" max="6" width="13.6640625" style="24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5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5">
      <c r="I41" s="1">
        <f>SUMIF(H:H, "&gt;20")</f>
        <v>1473.0000000000002</v>
      </c>
    </row>
  </sheetData>
  <conditionalFormatting sqref="A1:A1048576">
    <cfRule type="duplicateValues" dxfId="29" priority="4"/>
  </conditionalFormatting>
  <conditionalFormatting sqref="B1:B1048576">
    <cfRule type="duplicateValues" dxfId="28" priority="3"/>
  </conditionalFormatting>
  <conditionalFormatting sqref="A1:X40">
    <cfRule type="cellIs" dxfId="27" priority="2" operator="equal">
      <formula>-1</formula>
    </cfRule>
  </conditionalFormatting>
  <conditionalFormatting sqref="G2:W40">
    <cfRule type="cellIs" dxfId="26" priority="1" operator="equal">
      <formula>0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33.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3" t="s">
        <v>177</v>
      </c>
      <c r="D5" s="43">
        <f>SUMIF(Dataset!H:H,"&gt;20")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I27" sqref="I2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163</v>
      </c>
    </row>
    <row r="2" spans="1:7" s="39" customFormat="1" ht="21" x14ac:dyDescent="0.35">
      <c r="B2" s="39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VLOOKUP(A6,Dataset!A1:G40,7,FALSE)</f>
        <v>2.7</v>
      </c>
      <c r="C6" s="12">
        <f>VLOOKUP(A6,Dataset!A1:N40,14,FALSE)</f>
        <v>7.6</v>
      </c>
      <c r="D6" s="12">
        <f>VLOOKUP(A6,Dataset!A1:R40,18,FALSE)</f>
        <v>4.2</v>
      </c>
      <c r="E6" s="12">
        <f>VLOOKUP(A6,Dataset!A1:T40,20,FALSE)</f>
        <v>8.9</v>
      </c>
      <c r="F6" s="8">
        <f>VLOOKUP(A6,Dataset!A1:V40,22,FALSE)</f>
        <v>4.2</v>
      </c>
    </row>
    <row r="7" spans="1:7" ht="15" x14ac:dyDescent="0.25">
      <c r="A7" s="7" t="s">
        <v>4</v>
      </c>
      <c r="B7" s="12">
        <f>VLOOKUP(A7,Dataset!A2:G41,7,FALSE)</f>
        <v>2.7</v>
      </c>
      <c r="C7" s="12">
        <f>VLOOKUP(A7,Dataset!A2:N41,14,FALSE)</f>
        <v>7.6</v>
      </c>
      <c r="D7" s="12">
        <f>VLOOKUP(A7,Dataset!A2:R41,18,FALSE)</f>
        <v>4.2</v>
      </c>
      <c r="E7" s="12">
        <f>VLOOKUP(A7,Dataset!A2:T41,20,FALSE)</f>
        <v>8.9</v>
      </c>
      <c r="F7" s="8">
        <f>VLOOKUP(A7,Dataset!A2:V41,22,FALSE)</f>
        <v>4.2</v>
      </c>
    </row>
    <row r="8" spans="1:7" ht="15" x14ac:dyDescent="0.25">
      <c r="A8" s="7" t="s">
        <v>7</v>
      </c>
      <c r="B8" s="12">
        <f>VLOOKUP(A8,Dataset!A3:G42,7,FALSE)</f>
        <v>3.6</v>
      </c>
      <c r="C8" s="12">
        <f>VLOOKUP(A8,Dataset!A3:N42,14,FALSE)</f>
        <v>11.1</v>
      </c>
      <c r="D8" s="12">
        <f>VLOOKUP(A8,Dataset!A3:R42,18,FALSE)</f>
        <v>5.8</v>
      </c>
      <c r="E8" s="12">
        <f>VLOOKUP(A8,Dataset!A3:T42,20,FALSE)</f>
        <v>12.2</v>
      </c>
      <c r="F8" s="8">
        <f>VLOOKUP(A8,Dataset!A3:V42,22,FALSE)</f>
        <v>5.8</v>
      </c>
    </row>
    <row r="9" spans="1:7" ht="15" x14ac:dyDescent="0.25">
      <c r="A9" s="7" t="s">
        <v>8</v>
      </c>
      <c r="B9" s="12">
        <f>VLOOKUP(A9,Dataset!A4:G43,7,FALSE)</f>
        <v>4.9000000000000004</v>
      </c>
      <c r="C9" s="12">
        <f>VLOOKUP(A9,Dataset!A4:N43,14,FALSE)</f>
        <v>13.3</v>
      </c>
      <c r="D9" s="12">
        <f>VLOOKUP(A9,Dataset!A4:R43,18,FALSE)</f>
        <v>8.1</v>
      </c>
      <c r="E9" s="12">
        <f>VLOOKUP(A9,Dataset!A4:T43,20,FALSE)</f>
        <v>17</v>
      </c>
      <c r="F9" s="8">
        <f>VLOOKUP(A9,Dataset!A4:V43,22,FALSE)</f>
        <v>8.1</v>
      </c>
    </row>
    <row r="10" spans="1:7" ht="15" x14ac:dyDescent="0.25">
      <c r="A10" s="7" t="s">
        <v>11</v>
      </c>
      <c r="B10" s="12">
        <f>VLOOKUP(A10,Dataset!A5:G44,7,FALSE)</f>
        <v>9.4</v>
      </c>
      <c r="C10" s="12">
        <f>VLOOKUP(A10,Dataset!A5:N44,14,FALSE)</f>
        <v>28.3</v>
      </c>
      <c r="D10" s="12">
        <f>VLOOKUP(A10,Dataset!A5:R44,18,FALSE)</f>
        <v>16.100000000000001</v>
      </c>
      <c r="E10" s="12">
        <f>VLOOKUP(A10,Dataset!A5:T44,20,FALSE)</f>
        <v>32.799999999999997</v>
      </c>
      <c r="F10" s="8">
        <f>VLOOKUP(A10,Dataset!A5:V44,22,FALSE)</f>
        <v>16.100000000000001</v>
      </c>
    </row>
    <row r="11" spans="1:7" ht="15" x14ac:dyDescent="0.25">
      <c r="A11" s="7" t="s">
        <v>12</v>
      </c>
      <c r="B11" s="12">
        <f>VLOOKUP(A11,Dataset!A6:G45,7,FALSE)</f>
        <v>11.6</v>
      </c>
      <c r="C11" s="12">
        <f>VLOOKUP(A11,Dataset!A6:N45,14,FALSE)</f>
        <v>35.200000000000003</v>
      </c>
      <c r="D11" s="12">
        <f>VLOOKUP(A11,Dataset!A6:R45,18,FALSE)</f>
        <v>21.3</v>
      </c>
      <c r="E11" s="12">
        <f>VLOOKUP(A11,Dataset!A6:T45,20,FALSE)</f>
        <v>43</v>
      </c>
      <c r="F11" s="8">
        <f>VLOOKUP(A11,Dataset!A6:V45,22,FALSE)</f>
        <v>21.3</v>
      </c>
    </row>
    <row r="12" spans="1:7" ht="15" x14ac:dyDescent="0.25">
      <c r="A12" s="7" t="s">
        <v>14</v>
      </c>
      <c r="B12" s="12">
        <f>VLOOKUP(A12,Dataset!A7:G46,7,FALSE)</f>
        <v>18.399999999999999</v>
      </c>
      <c r="C12" s="12">
        <f>VLOOKUP(A12,Dataset!A7:N46,14,FALSE)</f>
        <v>55.6</v>
      </c>
      <c r="D12" s="12">
        <f>VLOOKUP(A12,Dataset!A7:R46,18,FALSE)</f>
        <v>33.799999999999997</v>
      </c>
      <c r="E12" s="12">
        <f>VLOOKUP(A12,Dataset!A7:T46,20,FALSE)</f>
        <v>67.900000000000006</v>
      </c>
      <c r="F12" s="8">
        <f>VLOOKUP(A12,Dataset!A7:V46,22,FALSE)</f>
        <v>33.799999999999997</v>
      </c>
    </row>
    <row r="13" spans="1:7" ht="15" x14ac:dyDescent="0.25">
      <c r="A13" s="7" t="s">
        <v>15</v>
      </c>
      <c r="B13" s="12">
        <f>VLOOKUP(A13,Dataset!A8:G47,7,FALSE)</f>
        <v>0</v>
      </c>
      <c r="C13" s="12">
        <f>VLOOKUP(A13,Dataset!A8:N47,14,FALSE)</f>
        <v>0</v>
      </c>
      <c r="D13" s="12">
        <f>VLOOKUP(A13,Dataset!A8:R47,18,FALSE)</f>
        <v>0</v>
      </c>
      <c r="E13" s="12">
        <f>VLOOKUP(A13,Dataset!A8:T47,20,FALSE)</f>
        <v>0</v>
      </c>
      <c r="F13" s="8">
        <f>VLOOKUP(A13,Dataset!A8:V47,22,FALSE)</f>
        <v>0</v>
      </c>
    </row>
    <row r="14" spans="1:7" ht="15" x14ac:dyDescent="0.25">
      <c r="A14" s="7" t="s">
        <v>16</v>
      </c>
      <c r="B14" s="12">
        <f>VLOOKUP(A14,Dataset!A9:G48,7,FALSE)</f>
        <v>21.9</v>
      </c>
      <c r="C14" s="12">
        <f>VLOOKUP(A14,Dataset!A9:N48,14,FALSE)</f>
        <v>61.5</v>
      </c>
      <c r="D14" s="12">
        <f>VLOOKUP(A14,Dataset!A9:R48,18,FALSE)</f>
        <v>40.1</v>
      </c>
      <c r="E14" s="12">
        <f>VLOOKUP(A14,Dataset!A9:T48,20,FALSE)</f>
        <v>76.599999999999994</v>
      </c>
      <c r="F14" s="8">
        <f>VLOOKUP(A14,Dataset!A9:V48,22,FALSE)</f>
        <v>40.1</v>
      </c>
    </row>
    <row r="15" spans="1:7" ht="15" x14ac:dyDescent="0.25">
      <c r="A15" s="7" t="s">
        <v>18</v>
      </c>
      <c r="B15" s="12">
        <f>VLOOKUP(A15,Dataset!A10:G49,7,FALSE)</f>
        <v>26.8</v>
      </c>
      <c r="C15" s="12">
        <f>VLOOKUP(A15,Dataset!A10:N49,14,FALSE)</f>
        <v>79.599999999999994</v>
      </c>
      <c r="D15" s="12">
        <f>VLOOKUP(A15,Dataset!A10:R49,18,FALSE)</f>
        <v>47.9</v>
      </c>
      <c r="E15" s="12">
        <f>VLOOKUP(A15,Dataset!A10:T49,20,FALSE)</f>
        <v>96.8</v>
      </c>
      <c r="F15" s="8">
        <f>VLOOKUP(A15,Dataset!A10:V49,22,FALSE)</f>
        <v>47.9</v>
      </c>
    </row>
    <row r="16" spans="1:7" ht="15" x14ac:dyDescent="0.25">
      <c r="A16" s="7" t="s">
        <v>20</v>
      </c>
      <c r="B16" s="12">
        <f>VLOOKUP(A16,Dataset!A11:G50,7,FALSE)</f>
        <v>28.5</v>
      </c>
      <c r="C16" s="12">
        <f>VLOOKUP(A16,Dataset!A11:N50,14,FALSE)</f>
        <v>85.4</v>
      </c>
      <c r="D16" s="12">
        <f>VLOOKUP(A16,Dataset!A11:R50,18,FALSE)</f>
        <v>52.3</v>
      </c>
      <c r="E16" s="12">
        <f>VLOOKUP(A16,Dataset!A11:T50,20,FALSE)</f>
        <v>106.1</v>
      </c>
      <c r="F16" s="8">
        <f>VLOOKUP(A16,Dataset!A11:V50,22,FALSE)</f>
        <v>52.3</v>
      </c>
    </row>
    <row r="17" spans="1:6" ht="15" x14ac:dyDescent="0.25">
      <c r="A17" s="7" t="s">
        <v>22</v>
      </c>
      <c r="B17" s="12">
        <f>VLOOKUP(A17,Dataset!A12:G51,7,FALSE)</f>
        <v>30.7</v>
      </c>
      <c r="C17" s="12">
        <f>VLOOKUP(A17,Dataset!A12:N51,14,FALSE)</f>
        <v>92.1</v>
      </c>
      <c r="D17" s="12">
        <f>VLOOKUP(A17,Dataset!A12:R51,18,FALSE)</f>
        <v>57</v>
      </c>
      <c r="E17" s="12">
        <f>VLOOKUP(A17,Dataset!A12:T51,20,FALSE)</f>
        <v>115.1</v>
      </c>
      <c r="F17" s="8">
        <f>VLOOKUP(A17,Dataset!A12:V51,22,FALSE)</f>
        <v>57</v>
      </c>
    </row>
    <row r="18" spans="1:6" ht="15" x14ac:dyDescent="0.25">
      <c r="A18" s="7" t="s">
        <v>23</v>
      </c>
      <c r="B18" s="12">
        <f>VLOOKUP(A18,Dataset!A13:G52,7,FALSE)</f>
        <v>33.799999999999997</v>
      </c>
      <c r="C18" s="12">
        <f>VLOOKUP(A18,Dataset!A13:N52,14,FALSE)</f>
        <v>101.3</v>
      </c>
      <c r="D18" s="12">
        <f>VLOOKUP(A18,Dataset!A13:R52,18,FALSE)</f>
        <v>61.4</v>
      </c>
      <c r="E18" s="12">
        <f>VLOOKUP(A18,Dataset!A13:T52,20,FALSE)</f>
        <v>124.4</v>
      </c>
      <c r="F18" s="8">
        <f>VLOOKUP(A18,Dataset!A13:V52,22,FALSE)</f>
        <v>61.4</v>
      </c>
    </row>
    <row r="19" spans="1:6" ht="15" x14ac:dyDescent="0.25">
      <c r="A19" s="7" t="s">
        <v>24</v>
      </c>
      <c r="B19" s="12">
        <f>VLOOKUP(A19,Dataset!A14:G53,7,FALSE)</f>
        <v>34.700000000000003</v>
      </c>
      <c r="C19" s="12">
        <f>VLOOKUP(A19,Dataset!A14:N53,14,FALSE)</f>
        <v>106.1</v>
      </c>
      <c r="D19" s="12">
        <f>VLOOKUP(A19,Dataset!A14:R53,18,FALSE)</f>
        <v>63.6</v>
      </c>
      <c r="E19" s="12">
        <f>VLOOKUP(A19,Dataset!A14:T53,20,FALSE)</f>
        <v>128.6</v>
      </c>
      <c r="F19" s="8">
        <f>VLOOKUP(A19,Dataset!A14:V53,22,FALSE)</f>
        <v>63.6</v>
      </c>
    </row>
    <row r="20" spans="1:6" ht="15" x14ac:dyDescent="0.25">
      <c r="A20" s="7" t="s">
        <v>28</v>
      </c>
      <c r="B20" s="12">
        <f>VLOOKUP(A20,Dataset!A15:G54,7,FALSE)</f>
        <v>0</v>
      </c>
      <c r="C20" s="12">
        <f>VLOOKUP(A20,Dataset!A15:N54,14,FALSE)</f>
        <v>0</v>
      </c>
      <c r="D20" s="12">
        <f>VLOOKUP(A20,Dataset!A15:R54,18,FALSE)</f>
        <v>0</v>
      </c>
      <c r="E20" s="12">
        <f>VLOOKUP(A20,Dataset!A15:T54,20,FALSE)</f>
        <v>0</v>
      </c>
      <c r="F20" s="8">
        <f>VLOOKUP(A20,Dataset!A15:V54,22,FALSE)</f>
        <v>0</v>
      </c>
    </row>
    <row r="21" spans="1:6" ht="15" x14ac:dyDescent="0.25">
      <c r="A21" s="7" t="s">
        <v>57</v>
      </c>
      <c r="B21" s="12">
        <f>VLOOKUP(A21,Dataset!A16:G55,7,FALSE)</f>
        <v>41.3</v>
      </c>
      <c r="C21" s="12">
        <f>VLOOKUP(A21,Dataset!A16:N55,14,FALSE)</f>
        <v>124.4</v>
      </c>
      <c r="D21" s="12">
        <f>VLOOKUP(A21,Dataset!A16:R55,18,FALSE)</f>
        <v>75</v>
      </c>
      <c r="E21" s="12">
        <f>VLOOKUP(A21,Dataset!A16:T55,20,FALSE)</f>
        <v>151.5</v>
      </c>
      <c r="F21" s="8">
        <f>VLOOKUP(A21,Dataset!A16:V55,22,FALSE)</f>
        <v>75</v>
      </c>
    </row>
    <row r="22" spans="1:6" ht="15" x14ac:dyDescent="0.25">
      <c r="A22" s="7" t="s">
        <v>58</v>
      </c>
      <c r="B22" s="12">
        <f>VLOOKUP(A22,Dataset!A17:G56,7,FALSE)</f>
        <v>-1</v>
      </c>
      <c r="C22" s="12">
        <f>VLOOKUP(A22,Dataset!A17:N56,14,FALSE)</f>
        <v>-1</v>
      </c>
      <c r="D22" s="12">
        <f>VLOOKUP(A22,Dataset!A17:R56,18,FALSE)</f>
        <v>-1</v>
      </c>
      <c r="E22" s="12">
        <f>VLOOKUP(A22,Dataset!A17:T56,20,FALSE)</f>
        <v>-1</v>
      </c>
      <c r="F22" s="8">
        <f>VLOOKUP(A22,Dataset!A17:V56,22,FALSE)</f>
        <v>-1</v>
      </c>
    </row>
    <row r="23" spans="1:6" ht="15" x14ac:dyDescent="0.25">
      <c r="A23" s="7" t="s">
        <v>31</v>
      </c>
      <c r="B23" s="12">
        <f>VLOOKUP(A23,Dataset!A18:G57,7,FALSE)</f>
        <v>45</v>
      </c>
      <c r="C23" s="12">
        <f>VLOOKUP(A23,Dataset!A18:N57,14,FALSE)</f>
        <v>133.4</v>
      </c>
      <c r="D23" s="12">
        <f>VLOOKUP(A23,Dataset!A18:R57,18,FALSE)</f>
        <v>79.400000000000006</v>
      </c>
      <c r="E23" s="12">
        <f>VLOOKUP(A23,Dataset!A18:T57,20,FALSE)</f>
        <v>160.9</v>
      </c>
      <c r="F23" s="8">
        <f>VLOOKUP(A23,Dataset!A18:V57,22,FALSE)</f>
        <v>79.400000000000006</v>
      </c>
    </row>
    <row r="24" spans="1:6" ht="15" x14ac:dyDescent="0.25">
      <c r="A24" s="7" t="s">
        <v>32</v>
      </c>
      <c r="B24" s="12">
        <f>VLOOKUP(A24,Dataset!A19:G58,7,FALSE)</f>
        <v>-1</v>
      </c>
      <c r="C24" s="12">
        <f>VLOOKUP(A24,Dataset!A19:N58,14,FALSE)</f>
        <v>-1</v>
      </c>
      <c r="D24" s="12">
        <f>VLOOKUP(A24,Dataset!A19:R58,18,FALSE)</f>
        <v>-1</v>
      </c>
      <c r="E24" s="12">
        <f>VLOOKUP(A24,Dataset!A19:T58,20,FALSE)</f>
        <v>-1</v>
      </c>
      <c r="F24" s="8">
        <f>VLOOKUP(A24,Dataset!A19:V58,22,FALSE)</f>
        <v>-1</v>
      </c>
    </row>
    <row r="25" spans="1:6" ht="15" x14ac:dyDescent="0.25">
      <c r="A25" s="7" t="s">
        <v>34</v>
      </c>
      <c r="B25" s="12">
        <f>VLOOKUP(A25,Dataset!A20:G59,7,FALSE)</f>
        <v>43.3</v>
      </c>
      <c r="C25" s="12">
        <f>VLOOKUP(A25,Dataset!A20:N59,14,FALSE)</f>
        <v>128.6</v>
      </c>
      <c r="D25" s="12">
        <f>VLOOKUP(A25,Dataset!A20:R59,18,FALSE)</f>
        <v>79.400000000000006</v>
      </c>
      <c r="E25" s="12">
        <f>VLOOKUP(A25,Dataset!A20:T59,20,FALSE)</f>
        <v>160.9</v>
      </c>
      <c r="F25" s="8">
        <f>VLOOKUP(A25,Dataset!A20:V59,22,FALSE)</f>
        <v>79.400000000000006</v>
      </c>
    </row>
    <row r="26" spans="1:6" ht="15" x14ac:dyDescent="0.25">
      <c r="A26" s="7" t="s">
        <v>37</v>
      </c>
      <c r="B26" s="12">
        <f>VLOOKUP(A26,Dataset!A21:G60,7,FALSE)</f>
        <v>49.1</v>
      </c>
      <c r="C26" s="12">
        <f>VLOOKUP(A26,Dataset!A21:N60,14,FALSE)</f>
        <v>146.80000000000001</v>
      </c>
      <c r="D26" s="12">
        <f>VLOOKUP(A26,Dataset!A21:R60,18,FALSE)</f>
        <v>90.9</v>
      </c>
      <c r="E26" s="12">
        <f>VLOOKUP(A26,Dataset!A21:T60,20,FALSE)</f>
        <v>183.5</v>
      </c>
      <c r="F26" s="8">
        <f>VLOOKUP(A26,Dataset!A21:V60,22,FALSE)</f>
        <v>90.9</v>
      </c>
    </row>
    <row r="27" spans="1:6" ht="15" x14ac:dyDescent="0.25">
      <c r="A27" s="7" t="s">
        <v>39</v>
      </c>
      <c r="B27" s="12">
        <f>VLOOKUP(A27,Dataset!A22:G61,7,FALSE)</f>
        <v>51.8</v>
      </c>
      <c r="C27" s="12">
        <f>VLOOKUP(A27,Dataset!A22:N61,14,FALSE)</f>
        <v>156.4</v>
      </c>
      <c r="D27" s="12">
        <f>VLOOKUP(A27,Dataset!A22:R61,18,FALSE)</f>
        <v>93.1</v>
      </c>
      <c r="E27" s="12">
        <f>VLOOKUP(A27,Dataset!A22:T61,20,FALSE)</f>
        <v>188.1</v>
      </c>
      <c r="F27" s="8">
        <f>VLOOKUP(A27,Dataset!A22:V61,22,FALSE)</f>
        <v>93.1</v>
      </c>
    </row>
    <row r="28" spans="1:6" ht="15" x14ac:dyDescent="0.25">
      <c r="A28" s="19" t="s">
        <v>82</v>
      </c>
      <c r="B28" s="17">
        <f>MIN(B2:B27)</f>
        <v>-1</v>
      </c>
      <c r="C28" s="17">
        <f t="shared" ref="C28:F28" si="0">MIN(C2:C27)</f>
        <v>-1</v>
      </c>
      <c r="D28" s="17">
        <f t="shared" si="0"/>
        <v>-1</v>
      </c>
      <c r="E28" s="17">
        <f t="shared" si="0"/>
        <v>-1</v>
      </c>
      <c r="F28" s="17">
        <f t="shared" si="0"/>
        <v>-1</v>
      </c>
    </row>
    <row r="29" spans="1:6" ht="15" x14ac:dyDescent="0.25">
      <c r="A29" s="19" t="s">
        <v>83</v>
      </c>
      <c r="B29" s="17">
        <f>MAX(B2:B27)</f>
        <v>51.8</v>
      </c>
      <c r="C29" s="17">
        <f t="shared" ref="C29:F29" si="1">MAX(C2:C27)</f>
        <v>156.4</v>
      </c>
      <c r="D29" s="17">
        <f t="shared" si="1"/>
        <v>93.1</v>
      </c>
      <c r="E29" s="17">
        <f t="shared" si="1"/>
        <v>188.1</v>
      </c>
      <c r="F29" s="17">
        <f t="shared" si="1"/>
        <v>93.1</v>
      </c>
    </row>
    <row r="30" spans="1:6" ht="15" x14ac:dyDescent="0.25">
      <c r="A30" s="19" t="s">
        <v>84</v>
      </c>
      <c r="B30" s="17">
        <f>ROUND(AVERAGE(B2:B27),2)</f>
        <v>20.83</v>
      </c>
      <c r="C30" s="17">
        <f t="shared" ref="C30:F30" si="2">ROUND(AVERAGE(C2:C27),2)</f>
        <v>62.38</v>
      </c>
      <c r="D30" s="17">
        <f t="shared" si="2"/>
        <v>37.799999999999997</v>
      </c>
      <c r="E30" s="17">
        <f t="shared" si="2"/>
        <v>76.42</v>
      </c>
      <c r="F30" s="17">
        <f t="shared" si="2"/>
        <v>37.799999999999997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B7" sqref="B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1" t="s">
        <v>53</v>
      </c>
      <c r="B5" s="38"/>
    </row>
    <row r="6" spans="1:10" ht="18.75" x14ac:dyDescent="0.3">
      <c r="A6" s="41" t="s">
        <v>152</v>
      </c>
      <c r="B6" s="38" t="s">
        <v>178</v>
      </c>
    </row>
    <row r="7" spans="1:10" ht="18.75" x14ac:dyDescent="0.3">
      <c r="A7" s="41"/>
      <c r="B7" s="38"/>
    </row>
    <row r="9" spans="1:10" ht="23.25" x14ac:dyDescent="0.35">
      <c r="A9" s="18" t="s">
        <v>164</v>
      </c>
      <c r="I9" s="2"/>
      <c r="J9" s="2"/>
    </row>
    <row r="10" spans="1:10" x14ac:dyDescent="0.25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15" sqref="G15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166</v>
      </c>
    </row>
    <row r="2" spans="1:3" ht="18.75" x14ac:dyDescent="0.3">
      <c r="B2" s="38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47" t="s">
        <v>179</v>
      </c>
    </row>
    <row r="7" spans="1:3" ht="15" x14ac:dyDescent="0.25">
      <c r="A7" s="3" t="s">
        <v>152</v>
      </c>
      <c r="B7" s="1" t="s">
        <v>180</v>
      </c>
    </row>
    <row r="10" spans="1:3" ht="23.25" x14ac:dyDescent="0.35">
      <c r="A10" s="18" t="s">
        <v>161</v>
      </c>
    </row>
    <row r="11" spans="1:3" ht="15" x14ac:dyDescent="0.25">
      <c r="A11" s="31" t="s">
        <v>86</v>
      </c>
      <c r="B11" s="17" t="s">
        <v>87</v>
      </c>
      <c r="C11" s="17" t="s">
        <v>88</v>
      </c>
    </row>
    <row r="12" spans="1:3" ht="15" x14ac:dyDescent="0.25">
      <c r="A12" s="31">
        <v>44927</v>
      </c>
      <c r="B12" s="17" t="s">
        <v>59</v>
      </c>
      <c r="C12" s="17">
        <v>200</v>
      </c>
    </row>
    <row r="13" spans="1:3" ht="15" x14ac:dyDescent="0.25">
      <c r="A13" s="31">
        <v>44928</v>
      </c>
      <c r="B13" s="17" t="s">
        <v>60</v>
      </c>
      <c r="C13" s="17" t="e">
        <v>#N/A</v>
      </c>
    </row>
    <row r="14" spans="1:3" ht="15" x14ac:dyDescent="0.25">
      <c r="A14" s="31">
        <v>44929</v>
      </c>
      <c r="B14" s="17" t="s">
        <v>61</v>
      </c>
      <c r="C14" s="17">
        <v>50</v>
      </c>
    </row>
    <row r="15" spans="1:3" ht="15" x14ac:dyDescent="0.25">
      <c r="A15" s="31">
        <v>44930</v>
      </c>
      <c r="B15" s="17" t="s">
        <v>62</v>
      </c>
      <c r="C15" s="17" t="e">
        <v>#N/A</v>
      </c>
    </row>
    <row r="16" spans="1:3" ht="15" x14ac:dyDescent="0.25">
      <c r="A16" s="31">
        <v>44931</v>
      </c>
      <c r="B16" s="17" t="s">
        <v>63</v>
      </c>
      <c r="C16" s="17">
        <v>10</v>
      </c>
    </row>
    <row r="17" spans="1:3" ht="15" x14ac:dyDescent="0.25">
      <c r="A17" s="31">
        <v>44932</v>
      </c>
      <c r="B17" s="17" t="s">
        <v>153</v>
      </c>
      <c r="C17" s="17">
        <v>150</v>
      </c>
    </row>
    <row r="18" spans="1:3" ht="15" x14ac:dyDescent="0.25">
      <c r="A18" s="31">
        <v>44933</v>
      </c>
      <c r="B18" s="17" t="s">
        <v>154</v>
      </c>
      <c r="C18" s="17">
        <v>80</v>
      </c>
    </row>
    <row r="19" spans="1:3" ht="15" x14ac:dyDescent="0.25">
      <c r="A19" s="31">
        <v>44934</v>
      </c>
      <c r="B19" s="17" t="s">
        <v>155</v>
      </c>
      <c r="C19" s="17" t="e">
        <v>#N/A</v>
      </c>
    </row>
    <row r="20" spans="1:3" ht="15" x14ac:dyDescent="0.25">
      <c r="A20" s="31">
        <v>44935</v>
      </c>
      <c r="B20" s="17" t="s">
        <v>156</v>
      </c>
      <c r="C20" s="17">
        <v>30</v>
      </c>
    </row>
    <row r="21" spans="1:3" ht="15" x14ac:dyDescent="0.25">
      <c r="A21" s="31">
        <v>44936</v>
      </c>
      <c r="B21" s="17" t="s">
        <v>157</v>
      </c>
      <c r="C21" s="17" t="e">
        <v>#N/A</v>
      </c>
    </row>
    <row r="22" spans="1:3" ht="15" x14ac:dyDescent="0.25">
      <c r="B22" s="17" t="s">
        <v>158</v>
      </c>
      <c r="C22" s="46" cm="1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31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174</v>
      </c>
    </row>
    <row r="3" spans="1:14" ht="15" x14ac:dyDescent="0.25">
      <c r="B3" s="1" t="s">
        <v>150</v>
      </c>
    </row>
    <row r="4" spans="1:14" ht="18.75" x14ac:dyDescent="0.3">
      <c r="A4" s="41" t="s">
        <v>53</v>
      </c>
      <c r="B4" s="1"/>
      <c r="C4" s="48" t="s">
        <v>181</v>
      </c>
    </row>
    <row r="5" spans="1:14" ht="18.75" x14ac:dyDescent="0.3">
      <c r="A5" s="41" t="s">
        <v>152</v>
      </c>
      <c r="B5" s="1"/>
      <c r="C5" s="2" t="s">
        <v>182</v>
      </c>
    </row>
    <row r="6" spans="1:14" ht="15" x14ac:dyDescent="0.25">
      <c r="A6" s="3"/>
      <c r="B6" s="1"/>
      <c r="C6" s="2" t="s">
        <v>183</v>
      </c>
    </row>
    <row r="7" spans="1:14" x14ac:dyDescent="0.2">
      <c r="C7" s="2" t="s">
        <v>184</v>
      </c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2">
        <f>IFERROR(VLOOKUP(VLOOKUP(A23, $M$9:$N$18, 2, FALSE), $A$10:$J$18, 2, FALSE), VLOOKUP(VLOOKUP(B23, $M$9:$N$18, 2, FALSE), $A$10:$J$18, 2, FALSE))</f>
        <v>-1</v>
      </c>
    </row>
    <row r="24" spans="1:14" ht="15" x14ac:dyDescent="0.25">
      <c r="A24" s="7">
        <v>10100</v>
      </c>
      <c r="B24" s="12">
        <v>10104</v>
      </c>
      <c r="C24" s="42">
        <f t="shared" ref="C24:C35" si="0">IFERROR(VLOOKUP(VLOOKUP(A24, $M$9:$N$18, 2, FALSE), $A$10:$J$18, 2, FALSE), VLOOKUP(VLOOKUP(B24, $M$9:$N$18, 2, FALSE), $A$10:$J$18, 2, FALSE))</f>
        <v>-1</v>
      </c>
    </row>
    <row r="25" spans="1:14" ht="15" x14ac:dyDescent="0.25">
      <c r="A25" s="7">
        <v>10108</v>
      </c>
      <c r="B25" s="12">
        <v>10102</v>
      </c>
      <c r="C25" s="42">
        <f t="shared" si="0"/>
        <v>255</v>
      </c>
    </row>
    <row r="26" spans="1:14" ht="15" x14ac:dyDescent="0.25">
      <c r="A26" s="7">
        <v>10100</v>
      </c>
      <c r="B26" s="12">
        <v>10106</v>
      </c>
      <c r="C26" s="42">
        <f t="shared" si="0"/>
        <v>-1</v>
      </c>
    </row>
    <row r="27" spans="1:14" ht="15" x14ac:dyDescent="0.25">
      <c r="A27" s="7">
        <v>10108</v>
      </c>
      <c r="B27" s="12">
        <v>10110</v>
      </c>
      <c r="C27" s="42">
        <f t="shared" si="0"/>
        <v>255</v>
      </c>
    </row>
    <row r="28" spans="1:14" ht="15" x14ac:dyDescent="0.25">
      <c r="A28" s="7">
        <v>10102</v>
      </c>
      <c r="B28" s="12">
        <v>10104</v>
      </c>
      <c r="C28" s="42">
        <f t="shared" si="0"/>
        <v>95</v>
      </c>
    </row>
    <row r="29" spans="1:14" ht="15" x14ac:dyDescent="0.25">
      <c r="A29" s="7">
        <v>10106</v>
      </c>
      <c r="B29" s="12">
        <v>10108</v>
      </c>
      <c r="C29" s="42">
        <f t="shared" si="0"/>
        <v>185</v>
      </c>
    </row>
    <row r="30" spans="1:14" ht="15" x14ac:dyDescent="0.25">
      <c r="A30" s="7">
        <v>10102</v>
      </c>
      <c r="B30" s="12">
        <v>10106</v>
      </c>
      <c r="C30" s="42">
        <f t="shared" si="0"/>
        <v>95</v>
      </c>
    </row>
    <row r="31" spans="1:14" ht="15" x14ac:dyDescent="0.25">
      <c r="A31" s="7">
        <v>10110</v>
      </c>
      <c r="B31" s="12">
        <v>10114</v>
      </c>
      <c r="C31" s="42">
        <f t="shared" si="0"/>
        <v>305</v>
      </c>
    </row>
    <row r="32" spans="1:14" ht="15" x14ac:dyDescent="0.25">
      <c r="A32" s="7">
        <v>10104</v>
      </c>
      <c r="B32" s="12">
        <v>10106</v>
      </c>
      <c r="C32" s="42">
        <f t="shared" si="0"/>
        <v>-1</v>
      </c>
    </row>
    <row r="33" spans="1:3" ht="15" x14ac:dyDescent="0.25">
      <c r="A33" s="7">
        <v>10110</v>
      </c>
      <c r="B33" s="12">
        <v>10112</v>
      </c>
      <c r="C33" s="42">
        <f t="shared" si="0"/>
        <v>305</v>
      </c>
    </row>
    <row r="34" spans="1:3" ht="15" x14ac:dyDescent="0.25">
      <c r="A34" s="7">
        <v>10100</v>
      </c>
      <c r="B34" s="12">
        <v>10114</v>
      </c>
      <c r="C34" s="42">
        <f t="shared" si="0"/>
        <v>-1</v>
      </c>
    </row>
    <row r="35" spans="1:3" ht="15" x14ac:dyDescent="0.25">
      <c r="A35" s="9">
        <v>10112</v>
      </c>
      <c r="B35" s="13">
        <v>10116</v>
      </c>
      <c r="C35" s="49">
        <f t="shared" si="0"/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FNU LNU</cp:lastModifiedBy>
  <dcterms:created xsi:type="dcterms:W3CDTF">2015-02-10T17:33:11Z</dcterms:created>
  <dcterms:modified xsi:type="dcterms:W3CDTF">2024-10-23T18:12:22Z</dcterms:modified>
</cp:coreProperties>
</file>